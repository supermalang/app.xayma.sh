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  <sheet name="Sales Performa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<sst xmlns="http://schemas.openxmlformats.org/spreadsheetml/2006/main" count="185" uniqueCount="123">
  <si>
    <t xml:space="preserve">📋  MODEL ASSUMPTIONS — Odoo SaaS (West Africa)</t>
  </si>
  <si>
    <t xml:space="preserve">DIRECT CUSTOMER PLANS</t>
  </si>
  <si>
    <t xml:space="preserve">Plan</t>
  </si>
  <si>
    <t xml:space="preserve">Price (FCFA/30d)</t>
  </si>
  <si>
    <t xml:space="preserve">RAM (GB)</t>
  </si>
  <si>
    <t xml:space="preserve">Starter</t>
  </si>
  <si>
    <t xml:space="preserve">Pro</t>
  </si>
  <si>
    <t xml:space="preserve">Enterprise</t>
  </si>
  <si>
    <t xml:space="preserve">CREDIT SYSTEM</t>
  </si>
  <si>
    <t xml:space="preserve">Parameter</t>
  </si>
  <si>
    <t xml:space="preserve">Value</t>
  </si>
  <si>
    <t xml:space="preserve">Credits per 10,000 FCFA</t>
  </si>
  <si>
    <t xml:space="preserve">Starter credits / 30 days</t>
  </si>
  <si>
    <t xml:space="preserve">Pro credits / 30 days</t>
  </si>
  <si>
    <t xml:space="preserve">Enterprise credits / 30 days</t>
  </si>
  <si>
    <t xml:space="preserve">n8n deduction interval (minutes)</t>
  </si>
  <si>
    <t xml:space="preserve">RESELLER BUNDLES</t>
  </si>
  <si>
    <t xml:space="preserve">Bundle</t>
  </si>
  <si>
    <t xml:space="preserve">Instances</t>
  </si>
  <si>
    <t xml:space="preserve">Expiry (days)</t>
  </si>
  <si>
    <t xml:space="preserve">Small</t>
  </si>
  <si>
    <t xml:space="preserve">Medium</t>
  </si>
  <si>
    <t xml:space="preserve">Large</t>
  </si>
  <si>
    <t xml:space="preserve">RESELLER DISCOUNTS</t>
  </si>
  <si>
    <t xml:space="preserve">Discount %</t>
  </si>
  <si>
    <t xml:space="preserve">Grace Period (days)</t>
  </si>
  <si>
    <t xml:space="preserve">CUSTOMER MIX</t>
  </si>
  <si>
    <t xml:space="preserve">Segment</t>
  </si>
  <si>
    <t xml:space="preserve">Split %</t>
  </si>
  <si>
    <t xml:space="preserve">Notes</t>
  </si>
  <si>
    <t xml:space="preserve">Direct / Reseller split (direct %)</t>
  </si>
  <si>
    <t xml:space="preserve">50% direct, 50% reseller</t>
  </si>
  <si>
    <t xml:space="preserve">Starter share of direct</t>
  </si>
  <si>
    <t xml:space="preserve">Pro share of direct</t>
  </si>
  <si>
    <t xml:space="preserve">Enterprise share of direct</t>
  </si>
  <si>
    <t xml:space="preserve">Reseller Small share</t>
  </si>
  <si>
    <t xml:space="preserve">Reseller Medium share</t>
  </si>
  <si>
    <t xml:space="preserve">Reseller Large share</t>
  </si>
  <si>
    <t xml:space="preserve">Expired credits estimate</t>
  </si>
  <si>
    <t xml:space="preserve">Pure profit, no infra cost</t>
  </si>
  <si>
    <t xml:space="preserve">INFRASTRUCTURE (HETZNER)</t>
  </si>
  <si>
    <t xml:space="preserve">Item</t>
  </si>
  <si>
    <t xml:space="preserve">Cost (FCFA/month)</t>
  </si>
  <si>
    <t xml:space="preserve">CX32 — Management node (1x)</t>
  </si>
  <si>
    <t xml:space="preserve">Traefik, AWX, n8n, Supabase</t>
  </si>
  <si>
    <t xml:space="preserve">CX52 — Customer node (per node)</t>
  </si>
  <si>
    <t xml:space="preserve">32GB RAM, ~16 instances @ 1.8GB avg</t>
  </si>
  <si>
    <t xml:space="preserve">Usable RAM per CX52 (GB)</t>
  </si>
  <si>
    <t xml:space="preserve">32GB minus OS overhead</t>
  </si>
  <si>
    <t xml:space="preserve">Avg RAM per instance (GB)</t>
  </si>
  <si>
    <t xml:space="preserve">Weighted avg across plan mix</t>
  </si>
  <si>
    <t xml:space="preserve">SALES TEAM</t>
  </si>
  <si>
    <t xml:space="preserve">Number of consultants</t>
  </si>
  <si>
    <t xml:space="preserve">Base salary (FCFA/month)</t>
  </si>
  <si>
    <t xml:space="preserve">Min customers for base salary</t>
  </si>
  <si>
    <t xml:space="preserve">Acquisition bonus (% of plan × 3 months)</t>
  </si>
  <si>
    <t xml:space="preserve">Renewal commission (% of plan/month)</t>
  </si>
  <si>
    <t xml:space="preserve">📊  P&amp;L MODEL — Odoo SaaS (West Africa)</t>
  </si>
  <si>
    <t xml:space="preserve">Line Item</t>
  </si>
  <si>
    <t xml:space="preserve">40 Accounts</t>
  </si>
  <si>
    <t xml:space="preserve">100 Accounts</t>
  </si>
  <si>
    <t xml:space="preserve">200 Accounts</t>
  </si>
  <si>
    <t xml:space="preserve">REVENUE</t>
  </si>
  <si>
    <t xml:space="preserve">  Direct customers</t>
  </si>
  <si>
    <t xml:space="preserve">    Starter revenue</t>
  </si>
  <si>
    <t xml:space="preserve">    Pro revenue</t>
  </si>
  <si>
    <t xml:space="preserve">    Enterprise revenue</t>
  </si>
  <si>
    <t xml:space="preserve">  Total direct revenue</t>
  </si>
  <si>
    <t xml:space="preserve">  Reseller instances (50% of accounts)</t>
  </si>
  <si>
    <t xml:space="preserve">    Reseller Starter revenue</t>
  </si>
  <si>
    <t xml:space="preserve">    Reseller Pro revenue</t>
  </si>
  <si>
    <t xml:space="preserve">    Reseller Enterprise revenue</t>
  </si>
  <si>
    <t xml:space="preserve">  Total reseller revenue</t>
  </si>
  <si>
    <t xml:space="preserve">  Expired credits (pure profit)</t>
  </si>
  <si>
    <t xml:space="preserve">TOTAL REVENUE</t>
  </si>
  <si>
    <t xml:space="preserve">COSTS</t>
  </si>
  <si>
    <t xml:space="preserve">  Hetzner CX32 — management node (fixed)</t>
  </si>
  <si>
    <t xml:space="preserve">  Hetzner CX52 — customer nodes</t>
  </si>
  <si>
    <t xml:space="preserve">  Ops / your time</t>
  </si>
  <si>
    <t xml:space="preserve">  Sales team — base salary (2 consultants)</t>
  </si>
  <si>
    <t xml:space="preserve">  Sales team — acquisition bonus</t>
  </si>
  <si>
    <t xml:space="preserve">  Sales team — renewal commission</t>
  </si>
  <si>
    <t xml:space="preserve">  Support &amp; misc (5% of revenue)</t>
  </si>
  <si>
    <t xml:space="preserve">TOTAL COSTS</t>
  </si>
  <si>
    <t xml:space="preserve">PROFIT SUMMARY</t>
  </si>
  <si>
    <t xml:space="preserve">NET PROFIT (FCFA)</t>
  </si>
  <si>
    <t xml:space="preserve">NET PROFIT (USD @ 600 FCFA)</t>
  </si>
  <si>
    <t xml:space="preserve">MARGIN %</t>
  </si>
  <si>
    <t xml:space="preserve">📈  SALES CONSULTANT PERFORMANCE COMPARISON — 6 Months</t>
  </si>
  <si>
    <t xml:space="preserve">Avg plan price: 16,000 FCFA  |  Acq bonus: 4,800 FCFA/customer (paid over 3 months)  |  Renewal: 800 FCFA/customer/month  |  Base: 100,000 FCFA (min 10 customers)</t>
  </si>
  <si>
    <t xml:space="preserve">  UNDERPERFORMING  —  Barely above threshold — keeps base, low commission</t>
  </si>
  <si>
    <t xml:space="preserve">Month</t>
  </si>
  <si>
    <t xml:space="preserve">New Customers</t>
  </si>
  <si>
    <t xml:space="preserve">Portfolio</t>
  </si>
  <si>
    <t xml:space="preserve">Base Salary</t>
  </si>
  <si>
    <t xml:space="preserve">Base Lost</t>
  </si>
  <si>
    <t xml:space="preserve">Acq Bonus</t>
  </si>
  <si>
    <t xml:space="preserve">Renewal Comm</t>
  </si>
  <si>
    <t xml:space="preserve">Total Cost</t>
  </si>
  <si>
    <t xml:space="preserve">vs Performing</t>
  </si>
  <si>
    <t xml:space="preserve">Cumul. Cost</t>
  </si>
  <si>
    <t xml:space="preserve">Cumul. vs Performing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</si>
  <si>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</si>
  <si>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</si>
  <si>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</si>
  <si>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</si>
  <si>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</si>
  <si>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</si>
  <si>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6M TOTAL</t>
  </si>
  <si>
    <t xml:space="preserve">  PERFORMING  —  Solid performer — consistent, meets expectations</t>
  </si>
  <si>
    <t xml:space="preserve">  OVERPERFORMING  —  Doubles minimum target — high acquisition + renewal snowball</t>
  </si>
  <si>
    <t xml:space="preserve">  UP &amp; DOWN  —  Volatile — loses base salary in months where portfolio &lt; 10</t>
  </si>
  <si>
    <t xml:space="preserve">📊  6-MONTH SUMMARY COMPARISON</t>
  </si>
  <si>
    <t xml:space="preserve">Profile</t>
  </si>
  <si>
    <t xml:space="preserve">Total New Customers</t>
  </si>
  <si>
    <t xml:space="preserve">Final Portfolio</t>
  </si>
  <si>
    <t xml:space="preserve">Total Cost (6M)</t>
  </si>
  <si>
    <t xml:space="preserve">Avg Cost/Customer</t>
  </si>
  <si>
    <t xml:space="preserve">Underperforming</t>
  </si>
  <si>
    <t xml:space="preserve">Performing</t>
  </si>
  <si>
    <t xml:space="preserve">-</t>
  </si>
  <si>
    <t xml:space="preserve">Overperforming</t>
  </si>
  <si>
    <t xml:space="preserve">Up &amp; Down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</si>
</sst>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FCFA&quot;;\(#,##0&quot; FCFA)&quot;;\-"/>
    <numFmt numFmtId="166" formatCode="0.0%"/>
    <numFmt numFmtId="167" formatCode="#,##0"/>
    <numFmt numFmtId="168" formatCode="\$#,##0"/>
    <numFmt numFmtId="169" formatCode="#,##0&quot; FCFA&quot;;\(#,##0&quot; FCFA)&quot;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375623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C0"/>
        <bgColor rgb="FFFFFF99"/>
      </patternFill>
    </fill>
    <fill>
      <patternFill patternType="solid">
        <fgColor rgb="FFE2EFDA"/>
        <bgColor rgb="FFDEEAF1"/>
      </patternFill>
    </fill>
    <fill>
      <patternFill patternType="solid">
        <fgColor rgb="FFC6EFCE"/>
        <bgColor rgb="FFE2EFDA"/>
      </patternFill>
    </fill>
    <fill>
      <patternFill patternType="solid">
        <fgColor rgb="FFC00000"/>
        <bgColor rgb="FF800000"/>
      </patternFill>
    </fill>
    <fill>
      <patternFill patternType="solid">
        <fgColor rgb="FFFFE0E0"/>
        <bgColor rgb="FFEDE7F6"/>
      </patternFill>
    </fill>
    <fill>
      <patternFill patternType="solid">
        <fgColor rgb="FF375623"/>
        <bgColor rgb="FF333300"/>
      </patternFill>
    </fill>
    <fill>
      <patternFill patternType="solid">
        <fgColor rgb="FFDEEAF1"/>
        <bgColor rgb="FFEDE7F6"/>
      </patternFill>
    </fill>
    <fill>
      <patternFill patternType="solid">
        <fgColor rgb="FF7030A0"/>
        <bgColor rgb="FF993366"/>
      </patternFill>
    </fill>
    <fill>
      <patternFill patternType="solid">
        <fgColor rgb="FFEDE7F6"/>
        <bgColor rgb="FFDEEA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0"/>
      <rgbColor rgb="FFDEEAF1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2"/>
    <col collapsed="false" customWidth="true" hidden="false" outlineLevel="0" max="3" min="3" style="1" width="28"/>
  </cols>
  <sheetData>
    <row r="1" customFormat="false" ht="27.75" hidden="false" customHeight="true" outlineLevel="0" collapsed="false">
      <c r="A1" s="2" t="s">
        <v>0</v>
      </c>
      <c r="B1" s="2"/>
      <c r="C1" s="2"/>
    </row>
    <row r="3" customFormat="false" ht="15" hidden="false" customHeight="true" outlineLevel="0" collapsed="false">
      <c r="A3" s="3" t="s">
        <v>1</v>
      </c>
      <c r="B3" s="3"/>
      <c r="C3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5" t="s">
        <v>5</v>
      </c>
      <c r="B5" s="6" t="n">
        <v>10000</v>
      </c>
      <c r="C5" s="7" t="n">
        <v>1.5</v>
      </c>
    </row>
    <row r="6" customFormat="false" ht="15" hidden="false" customHeight="true" outlineLevel="0" collapsed="false">
      <c r="A6" s="5" t="s">
        <v>6</v>
      </c>
      <c r="B6" s="6" t="n">
        <v>20000</v>
      </c>
      <c r="C6" s="7" t="n">
        <v>2</v>
      </c>
    </row>
    <row r="7" customFormat="false" ht="15" hidden="false" customHeight="true" outlineLevel="0" collapsed="false">
      <c r="A7" s="5" t="s">
        <v>7</v>
      </c>
      <c r="B7" s="6" t="n">
        <v>50000</v>
      </c>
      <c r="C7" s="7" t="n">
        <v>6</v>
      </c>
    </row>
    <row r="9" customFormat="false" ht="15" hidden="false" customHeight="true" outlineLevel="0" collapsed="false">
      <c r="A9" s="3" t="s">
        <v>8</v>
      </c>
      <c r="B9" s="3"/>
      <c r="C9" s="3"/>
    </row>
    <row r="10" customFormat="false" ht="15" hidden="false" customHeight="true" outlineLevel="0" collapsed="false">
      <c r="A10" s="4" t="s">
        <v>9</v>
      </c>
      <c r="B10" s="4" t="s">
        <v>10</v>
      </c>
      <c r="C10" s="4"/>
    </row>
    <row r="11" customFormat="false" ht="15" hidden="false" customHeight="true" outlineLevel="0" collapsed="false">
      <c r="A11" s="5" t="s">
        <v>11</v>
      </c>
      <c r="B11" s="7" t="n">
        <v>10</v>
      </c>
      <c r="C11" s="7"/>
    </row>
    <row r="12" customFormat="false" ht="15" hidden="false" customHeight="true" outlineLevel="0" collapsed="false">
      <c r="A12" s="5" t="s">
        <v>12</v>
      </c>
      <c r="B12" s="7" t="n">
        <v>10</v>
      </c>
      <c r="C12" s="7"/>
    </row>
    <row r="13" customFormat="false" ht="15" hidden="false" customHeight="true" outlineLevel="0" collapsed="false">
      <c r="A13" s="5" t="s">
        <v>13</v>
      </c>
      <c r="B13" s="7" t="n">
        <v>20</v>
      </c>
      <c r="C13" s="7"/>
    </row>
    <row r="14" customFormat="false" ht="15" hidden="false" customHeight="true" outlineLevel="0" collapsed="false">
      <c r="A14" s="5" t="s">
        <v>14</v>
      </c>
      <c r="B14" s="7" t="n">
        <v>50</v>
      </c>
      <c r="C14" s="7"/>
    </row>
    <row r="15" customFormat="false" ht="15" hidden="false" customHeight="true" outlineLevel="0" collapsed="false">
      <c r="A15" s="5" t="s">
        <v>15</v>
      </c>
      <c r="B15" s="7" t="n">
        <v>15</v>
      </c>
      <c r="C15" s="7"/>
    </row>
    <row r="17" customFormat="false" ht="15" hidden="false" customHeight="true" outlineLevel="0" collapsed="false">
      <c r="A17" s="3" t="s">
        <v>16</v>
      </c>
      <c r="B17" s="3"/>
      <c r="C17" s="3"/>
    </row>
    <row r="18" customFormat="false" ht="15" hidden="false" customHeight="true" outlineLevel="0" collapsed="false">
      <c r="A18" s="4" t="s">
        <v>17</v>
      </c>
      <c r="B18" s="4" t="s">
        <v>18</v>
      </c>
      <c r="C18" s="4" t="s">
        <v>19</v>
      </c>
    </row>
    <row r="19" customFormat="false" ht="15" hidden="false" customHeight="true" outlineLevel="0" collapsed="false">
      <c r="A19" s="5" t="s">
        <v>20</v>
      </c>
      <c r="B19" s="7" t="n">
        <v>10</v>
      </c>
      <c r="C19" s="7" t="n">
        <v>30</v>
      </c>
    </row>
    <row r="20" customFormat="false" ht="15" hidden="false" customHeight="true" outlineLevel="0" collapsed="false">
      <c r="A20" s="5" t="s">
        <v>21</v>
      </c>
      <c r="B20" s="7" t="n">
        <v>20</v>
      </c>
      <c r="C20" s="7" t="n">
        <v>45</v>
      </c>
    </row>
    <row r="21" customFormat="false" ht="15" hidden="false" customHeight="true" outlineLevel="0" collapsed="false">
      <c r="A21" s="5" t="s">
        <v>22</v>
      </c>
      <c r="B21" s="7" t="n">
        <v>40</v>
      </c>
      <c r="C21" s="7" t="n">
        <v>60</v>
      </c>
    </row>
    <row r="23" customFormat="false" ht="15" hidden="false" customHeight="true" outlineLevel="0" collapsed="false">
      <c r="A23" s="3" t="s">
        <v>23</v>
      </c>
      <c r="B23" s="3"/>
      <c r="C23" s="3"/>
    </row>
    <row r="24" customFormat="false" ht="15" hidden="false" customHeight="true" outlineLevel="0" collapsed="false">
      <c r="A24" s="4" t="s">
        <v>17</v>
      </c>
      <c r="B24" s="4" t="s">
        <v>24</v>
      </c>
      <c r="C24" s="4" t="s">
        <v>25</v>
      </c>
    </row>
    <row r="25" customFormat="false" ht="15" hidden="false" customHeight="true" outlineLevel="0" collapsed="false">
      <c r="A25" s="5" t="s">
        <v>20</v>
      </c>
      <c r="B25" s="8" t="n">
        <v>0.2</v>
      </c>
      <c r="C25" s="7" t="n">
        <v>5</v>
      </c>
    </row>
    <row r="26" customFormat="false" ht="15" hidden="false" customHeight="true" outlineLevel="0" collapsed="false">
      <c r="A26" s="5" t="s">
        <v>21</v>
      </c>
      <c r="B26" s="8" t="n">
        <v>0.2</v>
      </c>
      <c r="C26" s="7" t="n">
        <v>5</v>
      </c>
    </row>
    <row r="27" customFormat="false" ht="15" hidden="false" customHeight="true" outlineLevel="0" collapsed="false">
      <c r="A27" s="5" t="s">
        <v>22</v>
      </c>
      <c r="B27" s="8" t="n">
        <v>0.35</v>
      </c>
      <c r="C27" s="7" t="n">
        <v>10</v>
      </c>
    </row>
    <row r="29" customFormat="false" ht="15" hidden="false" customHeight="true" outlineLevel="0" collapsed="false">
      <c r="A29" s="3" t="s">
        <v>26</v>
      </c>
      <c r="B29" s="3"/>
      <c r="C29" s="3"/>
    </row>
    <row r="30" customFormat="false" ht="15" hidden="false" customHeight="true" outlineLevel="0" collapsed="false">
      <c r="A30" s="4" t="s">
        <v>27</v>
      </c>
      <c r="B30" s="4" t="s">
        <v>28</v>
      </c>
      <c r="C30" s="4" t="s">
        <v>29</v>
      </c>
    </row>
    <row r="31" customFormat="false" ht="15" hidden="false" customHeight="true" outlineLevel="0" collapsed="false">
      <c r="A31" s="5" t="s">
        <v>30</v>
      </c>
      <c r="B31" s="8" t="n">
        <v>0.5</v>
      </c>
      <c r="C31" s="5" t="s">
        <v>31</v>
      </c>
    </row>
    <row r="32" customFormat="false" ht="15" hidden="false" customHeight="true" outlineLevel="0" collapsed="false">
      <c r="A32" s="5" t="s">
        <v>32</v>
      </c>
      <c r="B32" s="8" t="n">
        <v>0.7</v>
      </c>
      <c r="C32" s="5"/>
    </row>
    <row r="33" customFormat="false" ht="15" hidden="false" customHeight="true" outlineLevel="0" collapsed="false">
      <c r="A33" s="5" t="s">
        <v>33</v>
      </c>
      <c r="B33" s="8" t="n">
        <v>0.2</v>
      </c>
      <c r="C33" s="5"/>
    </row>
    <row r="34" customFormat="false" ht="15" hidden="false" customHeight="true" outlineLevel="0" collapsed="false">
      <c r="A34" s="5" t="s">
        <v>34</v>
      </c>
      <c r="B34" s="8" t="n">
        <v>0.1</v>
      </c>
      <c r="C34" s="5"/>
    </row>
    <row r="35" customFormat="false" ht="15" hidden="false" customHeight="true" outlineLevel="0" collapsed="false">
      <c r="A35" s="5" t="s">
        <v>35</v>
      </c>
      <c r="B35" s="8" t="n">
        <v>0.5</v>
      </c>
      <c r="C35" s="5"/>
    </row>
    <row r="36" customFormat="false" ht="15" hidden="false" customHeight="true" outlineLevel="0" collapsed="false">
      <c r="A36" s="5" t="s">
        <v>36</v>
      </c>
      <c r="B36" s="8" t="n">
        <v>0.35</v>
      </c>
      <c r="C36" s="5"/>
    </row>
    <row r="37" customFormat="false" ht="15" hidden="false" customHeight="true" outlineLevel="0" collapsed="false">
      <c r="A37" s="5" t="s">
        <v>37</v>
      </c>
      <c r="B37" s="8" t="n">
        <v>0.15</v>
      </c>
      <c r="C37" s="5"/>
    </row>
    <row r="38" customFormat="false" ht="15" hidden="false" customHeight="true" outlineLevel="0" collapsed="false">
      <c r="A38" s="5" t="s">
        <v>38</v>
      </c>
      <c r="B38" s="8" t="n">
        <v>0.2</v>
      </c>
      <c r="C38" s="5" t="s">
        <v>39</v>
      </c>
    </row>
    <row r="40" customFormat="false" ht="15" hidden="false" customHeight="true" outlineLevel="0" collapsed="false">
      <c r="A40" s="3" t="s">
        <v>40</v>
      </c>
      <c r="B40" s="3"/>
      <c r="C40" s="3"/>
    </row>
    <row r="41" customFormat="false" ht="15" hidden="false" customHeight="true" outlineLevel="0" collapsed="false">
      <c r="A41" s="4" t="s">
        <v>41</v>
      </c>
      <c r="B41" s="4" t="s">
        <v>42</v>
      </c>
      <c r="C41" s="4" t="s">
        <v>29</v>
      </c>
    </row>
    <row r="42" customFormat="false" ht="15" hidden="false" customHeight="true" outlineLevel="0" collapsed="false">
      <c r="A42" s="5" t="s">
        <v>43</v>
      </c>
      <c r="B42" s="6" t="n">
        <v>4800</v>
      </c>
      <c r="C42" s="5" t="s">
        <v>44</v>
      </c>
    </row>
    <row r="43" customFormat="false" ht="15" hidden="false" customHeight="true" outlineLevel="0" collapsed="false">
      <c r="A43" s="5" t="s">
        <v>45</v>
      </c>
      <c r="B43" s="6" t="n">
        <v>16800</v>
      </c>
      <c r="C43" s="5" t="s">
        <v>46</v>
      </c>
    </row>
    <row r="44" customFormat="false" ht="15" hidden="false" customHeight="true" outlineLevel="0" collapsed="false">
      <c r="A44" s="5" t="s">
        <v>47</v>
      </c>
      <c r="B44" s="7" t="n">
        <v>30</v>
      </c>
      <c r="C44" s="5" t="s">
        <v>48</v>
      </c>
    </row>
    <row r="45" customFormat="false" ht="15" hidden="false" customHeight="true" outlineLevel="0" collapsed="false">
      <c r="A45" s="5" t="s">
        <v>49</v>
      </c>
      <c r="B45" s="7" t="n">
        <v>1.8</v>
      </c>
      <c r="C45" s="5" t="s">
        <v>50</v>
      </c>
    </row>
    <row r="47" customFormat="false" ht="15" hidden="false" customHeight="true" outlineLevel="0" collapsed="false">
      <c r="A47" s="3" t="s">
        <v>51</v>
      </c>
      <c r="B47" s="3"/>
      <c r="C47" s="3"/>
    </row>
    <row r="48" customFormat="false" ht="15" hidden="false" customHeight="true" outlineLevel="0" collapsed="false">
      <c r="A48" s="4" t="s">
        <v>9</v>
      </c>
      <c r="B48" s="4" t="s">
        <v>10</v>
      </c>
      <c r="C48" s="4"/>
    </row>
    <row r="49" customFormat="false" ht="15" hidden="false" customHeight="true" outlineLevel="0" collapsed="false">
      <c r="A49" s="5" t="s">
        <v>52</v>
      </c>
      <c r="B49" s="7" t="n">
        <v>2</v>
      </c>
      <c r="C49" s="7"/>
    </row>
    <row r="50" customFormat="false" ht="15" hidden="false" customHeight="true" outlineLevel="0" collapsed="false">
      <c r="A50" s="5" t="s">
        <v>53</v>
      </c>
      <c r="B50" s="6" t="n">
        <v>100000</v>
      </c>
      <c r="C50" s="6"/>
    </row>
    <row r="51" customFormat="false" ht="15" hidden="false" customHeight="true" outlineLevel="0" collapsed="false">
      <c r="A51" s="5" t="s">
        <v>54</v>
      </c>
      <c r="B51" s="6" t="n">
        <v>10</v>
      </c>
      <c r="C51" s="6"/>
    </row>
    <row r="52" customFormat="false" ht="15" hidden="false" customHeight="true" outlineLevel="0" collapsed="false">
      <c r="A52" s="5" t="s">
        <v>55</v>
      </c>
      <c r="B52" s="8" t="n">
        <v>0.1</v>
      </c>
      <c r="C52" s="8"/>
    </row>
    <row r="53" customFormat="false" ht="15" hidden="false" customHeight="true" outlineLevel="0" collapsed="false">
      <c r="A53" s="5" t="s">
        <v>56</v>
      </c>
      <c r="B53" s="8" t="n">
        <v>0.05</v>
      </c>
      <c r="C53" s="8"/>
    </row>
  </sheetData>
  <mergeCells count="20">
    <mergeCell ref="A1:C1"/>
    <mergeCell ref="A3:C3"/>
    <mergeCell ref="A9:C9"/>
    <mergeCell ref="B10:C10"/>
    <mergeCell ref="B11:C11"/>
    <mergeCell ref="B12:C12"/>
    <mergeCell ref="B13:C13"/>
    <mergeCell ref="B14:C14"/>
    <mergeCell ref="B15:C15"/>
    <mergeCell ref="A17:C17"/>
    <mergeCell ref="A23:C23"/>
    <mergeCell ref="A29:C29"/>
    <mergeCell ref="A40:C40"/>
    <mergeCell ref="A47:C47"/>
    <mergeCell ref="B48:C48"/>
    <mergeCell ref="B49:C49"/>
    <mergeCell ref="B50:C50"/>
    <mergeCell ref="B51:C51"/>
    <mergeCell ref="B52:C52"/>
    <mergeCell ref="B53:C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22"/>
  </cols>
  <sheetData>
    <row r="1" customFormat="false" ht="27.75" hidden="false" customHeight="true" outlineLevel="0" collapsed="false">
      <c r="A1" s="2" t="s">
        <v>57</v>
      </c>
      <c r="B1" s="2"/>
      <c r="C1" s="2"/>
      <c r="D1" s="2"/>
    </row>
    <row r="2" customFormat="false" ht="15" hidden="false" customHeight="true" outlineLevel="0" collapsed="false">
      <c r="A2" s="4" t="s">
        <v>58</v>
      </c>
      <c r="B2" s="4" t="s">
        <v>59</v>
      </c>
      <c r="C2" s="4" t="s">
        <v>60</v>
      </c>
      <c r="D2" s="4" t="s">
        <v>61</v>
      </c>
    </row>
    <row r="4" customFormat="false" ht="15" hidden="false" customHeight="true" outlineLevel="0" collapsed="false">
      <c r="A4" s="9" t="s">
        <v>62</v>
      </c>
      <c r="B4" s="9"/>
      <c r="C4" s="9"/>
      <c r="D4" s="9"/>
    </row>
    <row r="5" customFormat="false" ht="15" hidden="false" customHeight="true" outlineLevel="0" collapsed="false">
      <c r="A5" s="5" t="s">
        <v>63</v>
      </c>
      <c r="B5" s="10" t="n">
        <f aca="false">ROUND(40*Assumptions!B31,0)</f>
        <v>20</v>
      </c>
      <c r="C5" s="10" t="n">
        <f aca="false">ROUND(100*Assumptions!B31,0)</f>
        <v>50</v>
      </c>
      <c r="D5" s="10" t="n">
        <f aca="false">ROUND(200*Assumptions!B31,0)</f>
        <v>100</v>
      </c>
    </row>
    <row r="6" customFormat="false" ht="15" hidden="false" customHeight="true" outlineLevel="0" collapsed="false">
      <c r="A6" s="5" t="s">
        <v>64</v>
      </c>
      <c r="B6" s="11" t="n">
        <f aca="false">ROUND(40*Assumptions!B31*Assumptions!B32,0)*Assumptions!B5</f>
        <v>140000</v>
      </c>
      <c r="C6" s="11" t="n">
        <f aca="false">ROUND(100*Assumptions!B31*Assumptions!B32,0)*Assumptions!B5</f>
        <v>350000</v>
      </c>
      <c r="D6" s="11" t="n">
        <f aca="false">ROUND(200*Assumptions!B31*Assumptions!B32,0)*Assumptions!B5</f>
        <v>700000</v>
      </c>
    </row>
    <row r="7" customFormat="false" ht="15" hidden="false" customHeight="true" outlineLevel="0" collapsed="false">
      <c r="A7" s="5" t="s">
        <v>65</v>
      </c>
      <c r="B7" s="11" t="n">
        <f aca="false">ROUND(40*Assumptions!B31*Assumptions!B33,0)*Assumptions!B6</f>
        <v>80000</v>
      </c>
      <c r="C7" s="11" t="n">
        <f aca="false">ROUND(100*Assumptions!B31*Assumptions!B33,0)*Assumptions!B6</f>
        <v>200000</v>
      </c>
      <c r="D7" s="11" t="n">
        <f aca="false">ROUND(200*Assumptions!B31*Assumptions!B33,0)*Assumptions!B6</f>
        <v>400000</v>
      </c>
    </row>
    <row r="8" customFormat="false" ht="15" hidden="false" customHeight="true" outlineLevel="0" collapsed="false">
      <c r="A8" s="5" t="s">
        <v>66</v>
      </c>
      <c r="B8" s="11" t="n">
        <f aca="false">ROUND(40*Assumptions!B31*Assumptions!B34,0)*Assumptions!B7</f>
        <v>100000</v>
      </c>
      <c r="C8" s="11" t="n">
        <f aca="false">ROUND(100*Assumptions!B31*Assumptions!B34,0)*Assumptions!B7</f>
        <v>250000</v>
      </c>
      <c r="D8" s="11" t="n">
        <f aca="false">ROUND(200*Assumptions!B31*Assumptions!B34,0)*Assumptions!B7</f>
        <v>500000</v>
      </c>
    </row>
    <row r="9" customFormat="false" ht="15" hidden="false" customHeight="true" outlineLevel="0" collapsed="false">
      <c r="A9" s="5" t="s">
        <v>67</v>
      </c>
      <c r="B9" s="12" t="n">
        <f aca="false">SUM(B6:B8)</f>
        <v>320000</v>
      </c>
      <c r="C9" s="12" t="n">
        <f aca="false">SUM(C6:C8)</f>
        <v>800000</v>
      </c>
      <c r="D9" s="12" t="n">
        <f aca="false">SUM(D6:D8)</f>
        <v>1600000</v>
      </c>
    </row>
    <row r="10" customFormat="false" ht="15" hidden="false" customHeight="true" outlineLevel="0" collapsed="false">
      <c r="A10" s="5" t="s">
        <v>68</v>
      </c>
      <c r="B10" s="10" t="n">
        <f aca="false">ROUND(40*(1-Assumptions!B31),0)</f>
        <v>20</v>
      </c>
      <c r="C10" s="10" t="n">
        <f aca="false">ROUND(100*(1-Assumptions!B31),0)</f>
        <v>50</v>
      </c>
      <c r="D10" s="10" t="n">
        <f aca="false">ROUND(200*(1-Assumptions!B31),0)</f>
        <v>100</v>
      </c>
    </row>
    <row r="11" customFormat="false" ht="15" hidden="false" customHeight="true" outlineLevel="0" collapsed="false">
      <c r="A11" s="5" t="s">
        <v>69</v>
      </c>
      <c r="B11" s="11" t="n">
        <f aca="false">ROUND(40*(1-Assumptions!B31)*Assumptions!B32,0)*Assumptions!B5*(1-(Assumptions!B35*Assumptions!B25+Assumptions!B36*Assumptions!B26+Assumptions!B37*Assumptions!B27))</f>
        <v>108850</v>
      </c>
      <c r="C11" s="11" t="n">
        <f aca="false">ROUND(100*(1-Assumptions!B31)*Assumptions!B32,0)*Assumptions!B5*(1-(Assumptions!B35*Assumptions!B25+Assumptions!B36*Assumptions!B26+Assumptions!B37*Assumptions!B27))</f>
        <v>272125</v>
      </c>
      <c r="D11" s="11" t="n">
        <f aca="false">ROUND(200*(1-Assumptions!B31)*Assumptions!B32,0)*Assumptions!B5*(1-(Assumptions!B35*Assumptions!B25+Assumptions!B36*Assumptions!B26+Assumptions!B37*Assumptions!B27))</f>
        <v>544250</v>
      </c>
    </row>
    <row r="12" customFormat="false" ht="15" hidden="false" customHeight="true" outlineLevel="0" collapsed="false">
      <c r="A12" s="5" t="s">
        <v>70</v>
      </c>
      <c r="B12" s="11" t="n">
        <f aca="false">ROUND(40*(1-Assumptions!B31)*Assumptions!B33,0)*Assumptions!B6*(1-(Assumptions!B35*Assumptions!B25+Assumptions!B36*Assumptions!B26+Assumptions!B37*Assumptions!B27))</f>
        <v>62200</v>
      </c>
      <c r="C12" s="11" t="n">
        <f aca="false">ROUND(100*(1-Assumptions!B31)*Assumptions!B33,0)*Assumptions!B6*(1-(Assumptions!B35*Assumptions!B25+Assumptions!B36*Assumptions!B26+Assumptions!B37*Assumptions!B27))</f>
        <v>155500</v>
      </c>
      <c r="D12" s="11" t="n">
        <f aca="false">ROUND(200*(1-Assumptions!B31)*Assumptions!B33,0)*Assumptions!B6*(1-(Assumptions!B35*Assumptions!B25+Assumptions!B36*Assumptions!B26+Assumptions!B37*Assumptions!B27))</f>
        <v>311000</v>
      </c>
    </row>
    <row r="13" customFormat="false" ht="15" hidden="false" customHeight="true" outlineLevel="0" collapsed="false">
      <c r="A13" s="5" t="s">
        <v>71</v>
      </c>
      <c r="B13" s="11" t="n">
        <f aca="false">ROUND(40*(1-Assumptions!B31)*Assumptions!B34,0)*Assumptions!B7*(1-(Assumptions!B35*Assumptions!B25+Assumptions!B36*Assumptions!B26+Assumptions!B37*Assumptions!B27))</f>
        <v>77750</v>
      </c>
      <c r="C13" s="11" t="n">
        <f aca="false">ROUND(100*(1-Assumptions!B31)*Assumptions!B34,0)*Assumptions!B7*(1-(Assumptions!B35*Assumptions!B25+Assumptions!B36*Assumptions!B26+Assumptions!B37*Assumptions!B27))</f>
        <v>194375</v>
      </c>
      <c r="D13" s="11" t="n">
        <f aca="false">ROUND(200*(1-Assumptions!B31)*Assumptions!B34,0)*Assumptions!B7*(1-(Assumptions!B35*Assumptions!B25+Assumptions!B36*Assumptions!B26+Assumptions!B37*Assumptions!B27))</f>
        <v>388750</v>
      </c>
    </row>
    <row r="14" customFormat="false" ht="15" hidden="false" customHeight="true" outlineLevel="0" collapsed="false">
      <c r="A14" s="5" t="s">
        <v>72</v>
      </c>
      <c r="B14" s="12" t="n">
        <f aca="false">SUM(B11:B13)</f>
        <v>248800</v>
      </c>
      <c r="C14" s="12" t="n">
        <f aca="false">SUM(C11:C13)</f>
        <v>622000</v>
      </c>
      <c r="D14" s="12" t="n">
        <f aca="false">SUM(D11:D13)</f>
        <v>1244000</v>
      </c>
    </row>
    <row r="15" customFormat="false" ht="15" hidden="false" customHeight="true" outlineLevel="0" collapsed="false">
      <c r="A15" s="5" t="s">
        <v>73</v>
      </c>
      <c r="B15" s="11" t="n">
        <f aca="false">B14*Assumptions!B38</f>
        <v>49760</v>
      </c>
      <c r="C15" s="11" t="n">
        <f aca="false">C14*Assumptions!B38</f>
        <v>124400</v>
      </c>
      <c r="D15" s="11" t="n">
        <f aca="false">D14*Assumptions!B38</f>
        <v>248800</v>
      </c>
    </row>
    <row r="16" customFormat="false" ht="15" hidden="false" customHeight="true" outlineLevel="0" collapsed="false">
      <c r="A16" s="13" t="s">
        <v>74</v>
      </c>
      <c r="B16" s="14" t="n">
        <f aca="false">B9+B14+B15</f>
        <v>618560</v>
      </c>
      <c r="C16" s="14" t="n">
        <f aca="false">C9+C14+C15</f>
        <v>1546400</v>
      </c>
      <c r="D16" s="14" t="n">
        <f aca="false">D9+D14+D15</f>
        <v>3092800</v>
      </c>
    </row>
    <row r="18" customFormat="false" ht="15" hidden="false" customHeight="true" outlineLevel="0" collapsed="false">
      <c r="A18" s="9" t="s">
        <v>75</v>
      </c>
      <c r="B18" s="9"/>
      <c r="C18" s="9"/>
      <c r="D18" s="9"/>
    </row>
    <row r="19" customFormat="false" ht="15" hidden="false" customHeight="true" outlineLevel="0" collapsed="false">
      <c r="A19" s="5" t="s">
        <v>76</v>
      </c>
      <c r="B19" s="15" t="n">
        <f aca="false">Assumptions!B42</f>
        <v>4800</v>
      </c>
      <c r="C19" s="15" t="n">
        <f aca="false">Assumptions!B42</f>
        <v>4800</v>
      </c>
      <c r="D19" s="15" t="n">
        <f aca="false">Assumptions!B42</f>
        <v>4800</v>
      </c>
    </row>
    <row r="20" customFormat="false" ht="15" hidden="false" customHeight="true" outlineLevel="0" collapsed="false">
      <c r="A20" s="5" t="s">
        <v>77</v>
      </c>
      <c r="B20" s="11" t="n">
        <f aca="false">CEILING(40*Assumptions!B45/Assumptions!B44,1)*Assumptions!B43</f>
        <v>50400</v>
      </c>
      <c r="C20" s="11" t="n">
        <f aca="false">CEILING(100*Assumptions!B45/Assumptions!B44,1)*Assumptions!B43</f>
        <v>100800</v>
      </c>
      <c r="D20" s="11" t="n">
        <f aca="false">CEILING(200*Assumptions!B45/Assumptions!B44,1)*Assumptions!B43</f>
        <v>201600</v>
      </c>
    </row>
    <row r="21" customFormat="false" ht="15" hidden="false" customHeight="true" outlineLevel="0" collapsed="false">
      <c r="A21" s="5" t="s">
        <v>78</v>
      </c>
      <c r="B21" s="6" t="n">
        <v>75000</v>
      </c>
      <c r="C21" s="6" t="n">
        <v>150000</v>
      </c>
      <c r="D21" s="6" t="n">
        <v>250000</v>
      </c>
    </row>
    <row r="22" customFormat="false" ht="15" hidden="false" customHeight="true" outlineLevel="0" collapsed="false">
      <c r="A22" s="5" t="s">
        <v>79</v>
      </c>
      <c r="B22" s="15" t="n">
        <f aca="false">Assumptions!B49*Assumptions!B50</f>
        <v>200000</v>
      </c>
      <c r="C22" s="15" t="n">
        <f aca="false">Assumptions!B49*Assumptions!B50</f>
        <v>200000</v>
      </c>
      <c r="D22" s="15" t="n">
        <f aca="false">Assumptions!B49*Assumptions!B50</f>
        <v>200000</v>
      </c>
    </row>
    <row r="23" customFormat="false" ht="15" hidden="false" customHeight="true" outlineLevel="0" collapsed="false">
      <c r="A23" s="5" t="s">
        <v>80</v>
      </c>
      <c r="B23" s="11" t="n">
        <f aca="false">ROUND(40*0.1,0)*(Assumptions!B32*Assumptions!B5+Assumptions!B33*Assumptions!B6+Assumptions!B34*Assumptions!B7)*Assumptions!B52</f>
        <v>6400</v>
      </c>
      <c r="C23" s="11" t="n">
        <f aca="false">ROUND(100*0.1,0)*(Assumptions!B32*Assumptions!B5+Assumptions!B33*Assumptions!B6+Assumptions!B34*Assumptions!B7)*Assumptions!B52</f>
        <v>16000</v>
      </c>
      <c r="D23" s="11" t="n">
        <f aca="false">ROUND(200*0.1,0)*(Assumptions!B32*Assumptions!B5+Assumptions!B33*Assumptions!B6+Assumptions!B34*Assumptions!B7)*Assumptions!B52</f>
        <v>32000</v>
      </c>
    </row>
    <row r="24" customFormat="false" ht="15" hidden="false" customHeight="true" outlineLevel="0" collapsed="false">
      <c r="A24" s="5" t="s">
        <v>81</v>
      </c>
      <c r="B24" s="11" t="n">
        <f aca="false">40*(Assumptions!B32*Assumptions!B5+Assumptions!B33*Assumptions!B6+Assumptions!B34*Assumptions!B7)*Assumptions!B53</f>
        <v>32000</v>
      </c>
      <c r="C24" s="11" t="n">
        <f aca="false">100*(Assumptions!B32*Assumptions!B5+Assumptions!B33*Assumptions!B6+Assumptions!B34*Assumptions!B7)*Assumptions!B53</f>
        <v>80000</v>
      </c>
      <c r="D24" s="11" t="n">
        <f aca="false">200*(Assumptions!B32*Assumptions!B5+Assumptions!B33*Assumptions!B6+Assumptions!B34*Assumptions!B7)*Assumptions!B53</f>
        <v>160000</v>
      </c>
    </row>
    <row r="25" customFormat="false" ht="15" hidden="false" customHeight="true" outlineLevel="0" collapsed="false">
      <c r="A25" s="5" t="s">
        <v>82</v>
      </c>
      <c r="B25" s="11" t="n">
        <f aca="false">B16*0.05</f>
        <v>30928</v>
      </c>
      <c r="C25" s="11" t="n">
        <f aca="false">C16*0.05</f>
        <v>77320</v>
      </c>
      <c r="D25" s="11" t="n">
        <f aca="false">D16*0.05</f>
        <v>154640</v>
      </c>
    </row>
    <row r="26" customFormat="false" ht="15" hidden="false" customHeight="true" outlineLevel="0" collapsed="false">
      <c r="A26" s="13" t="s">
        <v>83</v>
      </c>
      <c r="B26" s="14" t="n">
        <f aca="false">SUM(B19:B25)</f>
        <v>399528</v>
      </c>
      <c r="C26" s="14" t="n">
        <f aca="false">SUM(C19:C25)</f>
        <v>628920</v>
      </c>
      <c r="D26" s="14" t="n">
        <f aca="false">SUM(D19:D25)</f>
        <v>1003040</v>
      </c>
    </row>
    <row r="28" customFormat="false" ht="15" hidden="false" customHeight="true" outlineLevel="0" collapsed="false">
      <c r="A28" s="9" t="s">
        <v>84</v>
      </c>
      <c r="B28" s="9"/>
      <c r="C28" s="9"/>
      <c r="D28" s="9"/>
    </row>
    <row r="29" customFormat="false" ht="15" hidden="false" customHeight="true" outlineLevel="0" collapsed="false">
      <c r="A29" s="16" t="s">
        <v>85</v>
      </c>
      <c r="B29" s="17" t="n">
        <f aca="false">B16-B26</f>
        <v>219032</v>
      </c>
      <c r="C29" s="17" t="n">
        <f aca="false">C16-C26</f>
        <v>917480</v>
      </c>
      <c r="D29" s="17" t="n">
        <f aca="false">D16-D26</f>
        <v>2089760</v>
      </c>
    </row>
    <row r="30" customFormat="false" ht="15" hidden="false" customHeight="true" outlineLevel="0" collapsed="false">
      <c r="A30" s="16" t="s">
        <v>86</v>
      </c>
      <c r="B30" s="18" t="n">
        <f aca="false">B29/600</f>
        <v>365.053333333333</v>
      </c>
      <c r="C30" s="18" t="n">
        <f aca="false">C29/600</f>
        <v>1529.13333333333</v>
      </c>
      <c r="D30" s="18" t="n">
        <f aca="false">D29/600</f>
        <v>3482.93333333333</v>
      </c>
    </row>
    <row r="31" customFormat="false" ht="15" hidden="false" customHeight="true" outlineLevel="0" collapsed="false">
      <c r="A31" s="16" t="s">
        <v>87</v>
      </c>
      <c r="B31" s="19" t="n">
        <f aca="false">IF(B16=0,0,B29/B16)</f>
        <v>0.354099844800828</v>
      </c>
      <c r="C31" s="19" t="n">
        <f aca="false">IF(C16=0,0,C29/C16)</f>
        <v>0.593300569063632</v>
      </c>
      <c r="D31" s="19" t="n">
        <f aca="false">IF(D16=0,0,D29/D16)</f>
        <v>0.675685463010864</v>
      </c>
    </row>
  </sheetData>
  <mergeCells count="4">
    <mergeCell ref="A1:D1"/>
    <mergeCell ref="A4:D4"/>
    <mergeCell ref="A18:D18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11" min="3" style="0" width="14"/>
  </cols>
  <sheetData>
    <row r="1" customFormat="false" ht="27.75" hidden="false" customHeight="true" outlineLevel="0" collapsed="false">
      <c r="A1" s="20" t="s">
        <v>88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customFormat="false" ht="18" hidden="false" customHeight="true" outlineLevel="0" collapsed="false">
      <c r="A2" s="21" t="s">
        <v>89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4" customFormat="false" ht="19.5" hidden="false" customHeight="true" outlineLevel="0" collapsed="false">
      <c r="A4" s="22" t="s">
        <v>90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customFormat="false" ht="30" hidden="false" customHeight="true" outlineLevel="0" collapsed="false">
      <c r="A5" s="23" t="s">
        <v>91</v>
      </c>
      <c r="B5" s="23" t="s">
        <v>92</v>
      </c>
      <c r="C5" s="23" t="s">
        <v>93</v>
      </c>
      <c r="D5" s="23" t="s">
        <v>94</v>
      </c>
      <c r="E5" s="23" t="s">
        <v>95</v>
      </c>
      <c r="F5" s="23" t="s">
        <v>96</v>
      </c>
      <c r="G5" s="23" t="s">
        <v>97</v>
      </c>
      <c r="H5" s="23" t="s">
        <v>98</v>
      </c>
      <c r="I5" s="23" t="s">
        <v>99</v>
      </c>
      <c r="J5" s="23" t="s">
        <v>100</v>
      </c>
      <c r="K5" s="23" t="s">
        <v>101</v>
      </c>
    </row>
    <row r="6" customFormat="false" ht="15" hidden="false" customHeight="false" outlineLevel="0" collapsed="false">
      <c r="A6" s="24" t="s">
        <v>102</v>
      </c>
      <c r="B6" s="25" t="n">
        <v>2</v>
      </c>
      <c r="C6" s="25" t="n">
        <v>2</v>
      </c>
      <c r="D6" s="26" t="n">
        <v>0</v>
      </c>
      <c r="E6" s="27" t="n">
        <v>100000</v>
      </c>
      <c r="F6" s="26" t="n">
        <v>3200</v>
      </c>
      <c r="G6" s="26" t="n">
        <v>0</v>
      </c>
      <c r="H6" s="28" t="n">
        <v>3200</v>
      </c>
      <c r="I6" s="29" t="n">
        <v>-3200</v>
      </c>
      <c r="J6" s="26" t="n">
        <v>3200</v>
      </c>
      <c r="K6" s="29" t="n">
        <v>-3200</v>
      </c>
    </row>
    <row r="7" customFormat="false" ht="15" hidden="false" customHeight="false" outlineLevel="0" collapsed="false">
      <c r="A7" s="24" t="s">
        <v>103</v>
      </c>
      <c r="B7" s="25" t="n">
        <v>2</v>
      </c>
      <c r="C7" s="25" t="n">
        <v>4</v>
      </c>
      <c r="D7" s="26" t="n">
        <v>0</v>
      </c>
      <c r="E7" s="27" t="n">
        <v>100000</v>
      </c>
      <c r="F7" s="26" t="n">
        <v>6400</v>
      </c>
      <c r="G7" s="26" t="n">
        <v>1600</v>
      </c>
      <c r="H7" s="28" t="n">
        <v>8000</v>
      </c>
      <c r="I7" s="29" t="n">
        <v>-8000</v>
      </c>
      <c r="J7" s="26" t="n">
        <v>11200</v>
      </c>
      <c r="K7" s="29" t="n">
        <v>-11200</v>
      </c>
    </row>
    <row r="8" customFormat="false" ht="15" hidden="false" customHeight="false" outlineLevel="0" collapsed="false">
      <c r="A8" s="24" t="s">
        <v>104</v>
      </c>
      <c r="B8" s="25" t="n">
        <v>2</v>
      </c>
      <c r="C8" s="25" t="n">
        <v>6</v>
      </c>
      <c r="D8" s="26" t="n">
        <v>0</v>
      </c>
      <c r="E8" s="27" t="n">
        <v>100000</v>
      </c>
      <c r="F8" s="26" t="n">
        <v>9600</v>
      </c>
      <c r="G8" s="26" t="n">
        <v>3200</v>
      </c>
      <c r="H8" s="28" t="n">
        <v>12800</v>
      </c>
      <c r="I8" s="29" t="n">
        <v>-112800</v>
      </c>
      <c r="J8" s="26" t="n">
        <v>24000</v>
      </c>
      <c r="K8" s="29" t="n">
        <v>-124000</v>
      </c>
    </row>
    <row r="9" customFormat="false" ht="15" hidden="false" customHeight="false" outlineLevel="0" collapsed="false">
      <c r="A9" s="24" t="s">
        <v>105</v>
      </c>
      <c r="B9" s="25" t="n">
        <v>2</v>
      </c>
      <c r="C9" s="25" t="n">
        <v>8</v>
      </c>
      <c r="D9" s="26" t="n">
        <v>0</v>
      </c>
      <c r="E9" s="27" t="n">
        <v>100000</v>
      </c>
      <c r="F9" s="26" t="n">
        <v>9600</v>
      </c>
      <c r="G9" s="26" t="n">
        <v>4800</v>
      </c>
      <c r="H9" s="28" t="n">
        <v>14400</v>
      </c>
      <c r="I9" s="29" t="n">
        <v>-114400</v>
      </c>
      <c r="J9" s="26" t="n">
        <v>38400</v>
      </c>
      <c r="K9" s="29" t="n">
        <v>-238400</v>
      </c>
    </row>
    <row r="10" customFormat="false" ht="15" hidden="false" customHeight="false" outlineLevel="0" collapsed="false">
      <c r="A10" s="24" t="s">
        <v>106</v>
      </c>
      <c r="B10" s="25" t="n">
        <v>2</v>
      </c>
      <c r="C10" s="25" t="n">
        <v>10</v>
      </c>
      <c r="D10" s="26" t="n">
        <v>100000</v>
      </c>
      <c r="E10" s="26"/>
      <c r="F10" s="26" t="n">
        <v>9600</v>
      </c>
      <c r="G10" s="26" t="n">
        <v>6400</v>
      </c>
      <c r="H10" s="28" t="n">
        <v>116000</v>
      </c>
      <c r="I10" s="29" t="n">
        <v>-16000</v>
      </c>
      <c r="J10" s="26" t="n">
        <v>154400</v>
      </c>
      <c r="K10" s="29" t="n">
        <v>-254400</v>
      </c>
    </row>
    <row r="11" customFormat="false" ht="15" hidden="false" customHeight="false" outlineLevel="0" collapsed="false">
      <c r="A11" s="24" t="s">
        <v>107</v>
      </c>
      <c r="B11" s="25" t="n">
        <v>2</v>
      </c>
      <c r="C11" s="25" t="n">
        <v>12</v>
      </c>
      <c r="D11" s="26" t="n">
        <v>100000</v>
      </c>
      <c r="E11" s="26"/>
      <c r="F11" s="26" t="n">
        <v>9600</v>
      </c>
      <c r="G11" s="26" t="n">
        <v>8000</v>
      </c>
      <c r="H11" s="28" t="n">
        <v>117600</v>
      </c>
      <c r="I11" s="29" t="n">
        <v>-17600</v>
      </c>
      <c r="J11" s="26" t="n">
        <v>272000</v>
      </c>
      <c r="K11" s="29" t="n">
        <v>-272000</v>
      </c>
    </row>
    <row r="12" customFormat="false" ht="15" hidden="false" customHeight="false" outlineLevel="0" collapsed="false">
      <c r="A12" s="30" t="s">
        <v>108</v>
      </c>
      <c r="B12" s="31" t="n">
        <v>12</v>
      </c>
      <c r="C12" s="31" t="n">
        <v>12</v>
      </c>
      <c r="D12" s="32" t="n">
        <v>200000</v>
      </c>
      <c r="E12" s="32" t="n">
        <v>400000</v>
      </c>
      <c r="F12" s="32" t="n">
        <v>48000</v>
      </c>
      <c r="G12" s="32" t="n">
        <v>24000</v>
      </c>
      <c r="H12" s="32" t="n">
        <v>272000</v>
      </c>
      <c r="I12" s="32" t="n">
        <v>-272000</v>
      </c>
      <c r="J12" s="32" t="n">
        <v>272000</v>
      </c>
      <c r="K12" s="32" t="n">
        <v>-272000</v>
      </c>
    </row>
    <row r="14" customFormat="false" ht="19.5" hidden="false" customHeight="true" outlineLevel="0" collapsed="false">
      <c r="A14" s="33" t="s">
        <v>109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</row>
    <row r="15" customFormat="false" ht="30" hidden="false" customHeight="true" outlineLevel="0" collapsed="false">
      <c r="A15" s="23" t="s">
        <v>91</v>
      </c>
      <c r="B15" s="23" t="s">
        <v>92</v>
      </c>
      <c r="C15" s="23" t="s">
        <v>93</v>
      </c>
      <c r="D15" s="23" t="s">
        <v>94</v>
      </c>
      <c r="E15" s="23" t="s">
        <v>95</v>
      </c>
      <c r="F15" s="23" t="s">
        <v>96</v>
      </c>
      <c r="G15" s="23" t="s">
        <v>97</v>
      </c>
      <c r="H15" s="23" t="s">
        <v>98</v>
      </c>
      <c r="I15" s="23" t="s">
        <v>99</v>
      </c>
      <c r="J15" s="23" t="s">
        <v>100</v>
      </c>
      <c r="K15" s="23" t="s">
        <v>101</v>
      </c>
    </row>
    <row r="16" customFormat="false" ht="15" hidden="false" customHeight="false" outlineLevel="0" collapsed="false">
      <c r="A16" s="24" t="s">
        <v>102</v>
      </c>
      <c r="B16" s="25" t="n">
        <v>4</v>
      </c>
      <c r="C16" s="25" t="n">
        <v>4</v>
      </c>
      <c r="D16" s="26" t="n">
        <v>0</v>
      </c>
      <c r="E16" s="27" t="n">
        <v>100000</v>
      </c>
      <c r="F16" s="26" t="n">
        <v>6400</v>
      </c>
      <c r="G16" s="26" t="n">
        <v>0</v>
      </c>
      <c r="H16" s="28" t="n">
        <v>6400</v>
      </c>
      <c r="I16" s="26"/>
      <c r="J16" s="26" t="n">
        <v>6400</v>
      </c>
      <c r="K16" s="26"/>
    </row>
    <row r="17" customFormat="false" ht="15" hidden="false" customHeight="false" outlineLevel="0" collapsed="false">
      <c r="A17" s="24" t="s">
        <v>103</v>
      </c>
      <c r="B17" s="25" t="n">
        <v>4</v>
      </c>
      <c r="C17" s="25" t="n">
        <v>8</v>
      </c>
      <c r="D17" s="26" t="n">
        <v>0</v>
      </c>
      <c r="E17" s="27" t="n">
        <v>100000</v>
      </c>
      <c r="F17" s="26" t="n">
        <v>12800</v>
      </c>
      <c r="G17" s="26" t="n">
        <v>3200</v>
      </c>
      <c r="H17" s="28" t="n">
        <v>16000</v>
      </c>
      <c r="I17" s="26"/>
      <c r="J17" s="26" t="n">
        <v>22400</v>
      </c>
      <c r="K17" s="26"/>
    </row>
    <row r="18" customFormat="false" ht="15" hidden="false" customHeight="false" outlineLevel="0" collapsed="false">
      <c r="A18" s="34" t="s">
        <v>104</v>
      </c>
      <c r="B18" s="35" t="n">
        <v>4</v>
      </c>
      <c r="C18" s="35" t="n">
        <v>12</v>
      </c>
      <c r="D18" s="36" t="n">
        <v>100000</v>
      </c>
      <c r="E18" s="36"/>
      <c r="F18" s="36" t="n">
        <v>19200</v>
      </c>
      <c r="G18" s="36" t="n">
        <v>6400</v>
      </c>
      <c r="H18" s="37" t="n">
        <v>125600</v>
      </c>
      <c r="I18" s="36"/>
      <c r="J18" s="36" t="n">
        <v>148000</v>
      </c>
      <c r="K18" s="36"/>
    </row>
    <row r="19" customFormat="false" ht="15" hidden="false" customHeight="false" outlineLevel="0" collapsed="false">
      <c r="A19" s="34" t="s">
        <v>105</v>
      </c>
      <c r="B19" s="35" t="n">
        <v>4</v>
      </c>
      <c r="C19" s="35" t="n">
        <v>16</v>
      </c>
      <c r="D19" s="36" t="n">
        <v>100000</v>
      </c>
      <c r="E19" s="36"/>
      <c r="F19" s="36" t="n">
        <v>19200</v>
      </c>
      <c r="G19" s="36" t="n">
        <v>9600</v>
      </c>
      <c r="H19" s="37" t="n">
        <v>128800</v>
      </c>
      <c r="I19" s="36"/>
      <c r="J19" s="36" t="n">
        <v>276800</v>
      </c>
      <c r="K19" s="36"/>
    </row>
    <row r="20" customFormat="false" ht="15" hidden="false" customHeight="false" outlineLevel="0" collapsed="false">
      <c r="A20" s="34" t="s">
        <v>106</v>
      </c>
      <c r="B20" s="35" t="n">
        <v>4</v>
      </c>
      <c r="C20" s="35" t="n">
        <v>20</v>
      </c>
      <c r="D20" s="36" t="n">
        <v>100000</v>
      </c>
      <c r="E20" s="36"/>
      <c r="F20" s="36" t="n">
        <v>19200</v>
      </c>
      <c r="G20" s="36" t="n">
        <v>12800</v>
      </c>
      <c r="H20" s="37" t="n">
        <v>132000</v>
      </c>
      <c r="I20" s="36"/>
      <c r="J20" s="36" t="n">
        <v>408800</v>
      </c>
      <c r="K20" s="36"/>
    </row>
    <row r="21" customFormat="false" ht="15" hidden="false" customHeight="false" outlineLevel="0" collapsed="false">
      <c r="A21" s="34" t="s">
        <v>107</v>
      </c>
      <c r="B21" s="35" t="n">
        <v>4</v>
      </c>
      <c r="C21" s="35" t="n">
        <v>24</v>
      </c>
      <c r="D21" s="36" t="n">
        <v>100000</v>
      </c>
      <c r="E21" s="36"/>
      <c r="F21" s="36" t="n">
        <v>19200</v>
      </c>
      <c r="G21" s="36" t="n">
        <v>16000</v>
      </c>
      <c r="H21" s="37" t="n">
        <v>135200</v>
      </c>
      <c r="I21" s="36"/>
      <c r="J21" s="36" t="n">
        <v>544000</v>
      </c>
      <c r="K21" s="36"/>
    </row>
    <row r="22" customFormat="false" ht="15" hidden="false" customHeight="false" outlineLevel="0" collapsed="false">
      <c r="A22" s="38" t="s">
        <v>108</v>
      </c>
      <c r="B22" s="39" t="n">
        <v>24</v>
      </c>
      <c r="C22" s="39" t="n">
        <v>24</v>
      </c>
      <c r="D22" s="40" t="n">
        <v>400000</v>
      </c>
      <c r="E22" s="40" t="n">
        <v>200000</v>
      </c>
      <c r="F22" s="40" t="n">
        <v>96000</v>
      </c>
      <c r="G22" s="40" t="n">
        <v>48000</v>
      </c>
      <c r="H22" s="40" t="n">
        <v>544000</v>
      </c>
      <c r="I22" s="40"/>
      <c r="J22" s="40" t="n">
        <v>544000</v>
      </c>
      <c r="K22" s="40"/>
    </row>
    <row r="24" customFormat="false" ht="19.5" hidden="false" customHeight="true" outlineLevel="0" collapsed="false">
      <c r="A24" s="41" t="s">
        <v>110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</row>
    <row r="25" customFormat="false" ht="30" hidden="false" customHeight="true" outlineLevel="0" collapsed="false">
      <c r="A25" s="23" t="s">
        <v>91</v>
      </c>
      <c r="B25" s="23" t="s">
        <v>92</v>
      </c>
      <c r="C25" s="23" t="s">
        <v>93</v>
      </c>
      <c r="D25" s="23" t="s">
        <v>94</v>
      </c>
      <c r="E25" s="23" t="s">
        <v>95</v>
      </c>
      <c r="F25" s="23" t="s">
        <v>96</v>
      </c>
      <c r="G25" s="23" t="s">
        <v>97</v>
      </c>
      <c r="H25" s="23" t="s">
        <v>98</v>
      </c>
      <c r="I25" s="23" t="s">
        <v>99</v>
      </c>
      <c r="J25" s="23" t="s">
        <v>100</v>
      </c>
      <c r="K25" s="23" t="s">
        <v>101</v>
      </c>
    </row>
    <row r="26" customFormat="false" ht="15" hidden="false" customHeight="false" outlineLevel="0" collapsed="false">
      <c r="A26" s="24" t="s">
        <v>102</v>
      </c>
      <c r="B26" s="25" t="n">
        <v>7</v>
      </c>
      <c r="C26" s="25" t="n">
        <v>7</v>
      </c>
      <c r="D26" s="26" t="n">
        <v>0</v>
      </c>
      <c r="E26" s="27" t="n">
        <v>100000</v>
      </c>
      <c r="F26" s="26" t="n">
        <v>11200</v>
      </c>
      <c r="G26" s="26" t="n">
        <v>0</v>
      </c>
      <c r="H26" s="28" t="n">
        <v>11200</v>
      </c>
      <c r="I26" s="27" t="n">
        <v>4800</v>
      </c>
      <c r="J26" s="26" t="n">
        <v>11200</v>
      </c>
      <c r="K26" s="27" t="n">
        <v>4800</v>
      </c>
    </row>
    <row r="27" customFormat="false" ht="15" hidden="false" customHeight="false" outlineLevel="0" collapsed="false">
      <c r="A27" s="42" t="s">
        <v>103</v>
      </c>
      <c r="B27" s="43" t="n">
        <v>7</v>
      </c>
      <c r="C27" s="43" t="n">
        <v>14</v>
      </c>
      <c r="D27" s="44" t="n">
        <v>100000</v>
      </c>
      <c r="E27" s="44"/>
      <c r="F27" s="44" t="n">
        <v>22400</v>
      </c>
      <c r="G27" s="44" t="n">
        <v>5600</v>
      </c>
      <c r="H27" s="45" t="n">
        <v>128000</v>
      </c>
      <c r="I27" s="46" t="n">
        <v>112000</v>
      </c>
      <c r="J27" s="44" t="n">
        <v>139200</v>
      </c>
      <c r="K27" s="46" t="n">
        <v>116800</v>
      </c>
    </row>
    <row r="28" customFormat="false" ht="15" hidden="false" customHeight="false" outlineLevel="0" collapsed="false">
      <c r="A28" s="42" t="s">
        <v>104</v>
      </c>
      <c r="B28" s="43" t="n">
        <v>7</v>
      </c>
      <c r="C28" s="43" t="n">
        <v>21</v>
      </c>
      <c r="D28" s="44" t="n">
        <v>100000</v>
      </c>
      <c r="E28" s="44"/>
      <c r="F28" s="44" t="n">
        <v>33600</v>
      </c>
      <c r="G28" s="44" t="n">
        <v>11200</v>
      </c>
      <c r="H28" s="45" t="n">
        <v>144800</v>
      </c>
      <c r="I28" s="46" t="n">
        <v>19200</v>
      </c>
      <c r="J28" s="44" t="n">
        <v>284000</v>
      </c>
      <c r="K28" s="46" t="n">
        <v>136000</v>
      </c>
    </row>
    <row r="29" customFormat="false" ht="15" hidden="false" customHeight="false" outlineLevel="0" collapsed="false">
      <c r="A29" s="42" t="s">
        <v>105</v>
      </c>
      <c r="B29" s="43" t="n">
        <v>7</v>
      </c>
      <c r="C29" s="43" t="n">
        <v>28</v>
      </c>
      <c r="D29" s="44" t="n">
        <v>100000</v>
      </c>
      <c r="E29" s="44"/>
      <c r="F29" s="44" t="n">
        <v>33600</v>
      </c>
      <c r="G29" s="44" t="n">
        <v>16800</v>
      </c>
      <c r="H29" s="45" t="n">
        <v>150400</v>
      </c>
      <c r="I29" s="46" t="n">
        <v>21600</v>
      </c>
      <c r="J29" s="44" t="n">
        <v>434400</v>
      </c>
      <c r="K29" s="46" t="n">
        <v>157600</v>
      </c>
    </row>
    <row r="30" customFormat="false" ht="15" hidden="false" customHeight="false" outlineLevel="0" collapsed="false">
      <c r="A30" s="42" t="s">
        <v>106</v>
      </c>
      <c r="B30" s="43" t="n">
        <v>7</v>
      </c>
      <c r="C30" s="43" t="n">
        <v>35</v>
      </c>
      <c r="D30" s="44" t="n">
        <v>100000</v>
      </c>
      <c r="E30" s="44"/>
      <c r="F30" s="44" t="n">
        <v>33600</v>
      </c>
      <c r="G30" s="44" t="n">
        <v>22400</v>
      </c>
      <c r="H30" s="45" t="n">
        <v>156000</v>
      </c>
      <c r="I30" s="46" t="n">
        <v>24000</v>
      </c>
      <c r="J30" s="44" t="n">
        <v>590400</v>
      </c>
      <c r="K30" s="46" t="n">
        <v>181600</v>
      </c>
    </row>
    <row r="31" customFormat="false" ht="15" hidden="false" customHeight="false" outlineLevel="0" collapsed="false">
      <c r="A31" s="42" t="s">
        <v>107</v>
      </c>
      <c r="B31" s="43" t="n">
        <v>7</v>
      </c>
      <c r="C31" s="43" t="n">
        <v>42</v>
      </c>
      <c r="D31" s="44" t="n">
        <v>100000</v>
      </c>
      <c r="E31" s="44"/>
      <c r="F31" s="44" t="n">
        <v>33600</v>
      </c>
      <c r="G31" s="44" t="n">
        <v>28000</v>
      </c>
      <c r="H31" s="45" t="n">
        <v>161600</v>
      </c>
      <c r="I31" s="46" t="n">
        <v>26400</v>
      </c>
      <c r="J31" s="44" t="n">
        <v>752000</v>
      </c>
      <c r="K31" s="46" t="n">
        <v>208000</v>
      </c>
    </row>
    <row r="32" customFormat="false" ht="15" hidden="false" customHeight="false" outlineLevel="0" collapsed="false">
      <c r="A32" s="47" t="s">
        <v>108</v>
      </c>
      <c r="B32" s="48" t="n">
        <v>42</v>
      </c>
      <c r="C32" s="48" t="n">
        <v>42</v>
      </c>
      <c r="D32" s="49" t="n">
        <v>500000</v>
      </c>
      <c r="E32" s="49" t="n">
        <v>100000</v>
      </c>
      <c r="F32" s="49" t="n">
        <v>168000</v>
      </c>
      <c r="G32" s="49" t="n">
        <v>84000</v>
      </c>
      <c r="H32" s="49" t="n">
        <v>752000</v>
      </c>
      <c r="I32" s="49" t="n">
        <v>208000</v>
      </c>
      <c r="J32" s="49" t="n">
        <v>752000</v>
      </c>
      <c r="K32" s="49" t="n">
        <v>208000</v>
      </c>
    </row>
    <row r="34" customFormat="false" ht="19.5" hidden="false" customHeight="true" outlineLevel="0" collapsed="false">
      <c r="A34" s="50" t="s">
        <v>111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</row>
    <row r="35" customFormat="false" ht="30" hidden="false" customHeight="true" outlineLevel="0" collapsed="false">
      <c r="A35" s="23" t="s">
        <v>91</v>
      </c>
      <c r="B35" s="23" t="s">
        <v>92</v>
      </c>
      <c r="C35" s="23" t="s">
        <v>93</v>
      </c>
      <c r="D35" s="23" t="s">
        <v>94</v>
      </c>
      <c r="E35" s="23" t="s">
        <v>95</v>
      </c>
      <c r="F35" s="23" t="s">
        <v>96</v>
      </c>
      <c r="G35" s="23" t="s">
        <v>97</v>
      </c>
      <c r="H35" s="23" t="s">
        <v>98</v>
      </c>
      <c r="I35" s="23" t="s">
        <v>99</v>
      </c>
      <c r="J35" s="23" t="s">
        <v>100</v>
      </c>
      <c r="K35" s="23" t="s">
        <v>101</v>
      </c>
    </row>
    <row r="36" customFormat="false" ht="15" hidden="false" customHeight="false" outlineLevel="0" collapsed="false">
      <c r="A36" s="24" t="s">
        <v>102</v>
      </c>
      <c r="B36" s="25" t="n">
        <v>6</v>
      </c>
      <c r="C36" s="25" t="n">
        <v>6</v>
      </c>
      <c r="D36" s="26" t="n">
        <v>0</v>
      </c>
      <c r="E36" s="27" t="n">
        <v>100000</v>
      </c>
      <c r="F36" s="26" t="n">
        <v>9600</v>
      </c>
      <c r="G36" s="26" t="n">
        <v>0</v>
      </c>
      <c r="H36" s="28" t="n">
        <v>9600</v>
      </c>
      <c r="I36" s="27" t="n">
        <v>3200</v>
      </c>
      <c r="J36" s="26" t="n">
        <v>9600</v>
      </c>
      <c r="K36" s="27" t="n">
        <v>3200</v>
      </c>
    </row>
    <row r="37" customFormat="false" ht="15" hidden="false" customHeight="false" outlineLevel="0" collapsed="false">
      <c r="A37" s="24" t="s">
        <v>103</v>
      </c>
      <c r="B37" s="25" t="n">
        <v>2</v>
      </c>
      <c r="C37" s="25" t="n">
        <v>8</v>
      </c>
      <c r="D37" s="26" t="n">
        <v>0</v>
      </c>
      <c r="E37" s="27" t="n">
        <v>100000</v>
      </c>
      <c r="F37" s="26" t="n">
        <v>12800</v>
      </c>
      <c r="G37" s="26" t="n">
        <v>4800</v>
      </c>
      <c r="H37" s="28" t="n">
        <v>17600</v>
      </c>
      <c r="I37" s="27" t="n">
        <v>1600</v>
      </c>
      <c r="J37" s="26" t="n">
        <v>27200</v>
      </c>
      <c r="K37" s="27" t="n">
        <v>4800</v>
      </c>
    </row>
    <row r="38" customFormat="false" ht="15" hidden="false" customHeight="false" outlineLevel="0" collapsed="false">
      <c r="A38" s="51" t="s">
        <v>104</v>
      </c>
      <c r="B38" s="52" t="n">
        <v>8</v>
      </c>
      <c r="C38" s="52" t="n">
        <v>16</v>
      </c>
      <c r="D38" s="53" t="n">
        <v>100000</v>
      </c>
      <c r="E38" s="53"/>
      <c r="F38" s="53" t="n">
        <v>25600</v>
      </c>
      <c r="G38" s="53" t="n">
        <v>6400</v>
      </c>
      <c r="H38" s="54" t="n">
        <v>132000</v>
      </c>
      <c r="I38" s="55" t="n">
        <v>6400</v>
      </c>
      <c r="J38" s="53" t="n">
        <v>159200</v>
      </c>
      <c r="K38" s="55" t="n">
        <v>11200</v>
      </c>
    </row>
    <row r="39" customFormat="false" ht="15" hidden="false" customHeight="false" outlineLevel="0" collapsed="false">
      <c r="A39" s="51" t="s">
        <v>105</v>
      </c>
      <c r="B39" s="52" t="n">
        <v>1</v>
      </c>
      <c r="C39" s="52" t="n">
        <v>17</v>
      </c>
      <c r="D39" s="53" t="n">
        <v>100000</v>
      </c>
      <c r="E39" s="53"/>
      <c r="F39" s="53" t="n">
        <v>17600</v>
      </c>
      <c r="G39" s="53" t="n">
        <v>12800</v>
      </c>
      <c r="H39" s="54" t="n">
        <v>130400</v>
      </c>
      <c r="I39" s="55" t="n">
        <v>1600</v>
      </c>
      <c r="J39" s="53" t="n">
        <v>289600</v>
      </c>
      <c r="K39" s="55" t="n">
        <v>12800</v>
      </c>
    </row>
    <row r="40" customFormat="false" ht="15" hidden="false" customHeight="false" outlineLevel="0" collapsed="false">
      <c r="A40" s="51" t="s">
        <v>106</v>
      </c>
      <c r="B40" s="52" t="n">
        <v>7</v>
      </c>
      <c r="C40" s="52" t="n">
        <v>24</v>
      </c>
      <c r="D40" s="53" t="n">
        <v>100000</v>
      </c>
      <c r="E40" s="53"/>
      <c r="F40" s="53" t="n">
        <v>25600</v>
      </c>
      <c r="G40" s="53" t="n">
        <v>13600</v>
      </c>
      <c r="H40" s="54" t="n">
        <v>139200</v>
      </c>
      <c r="I40" s="55" t="n">
        <v>7200</v>
      </c>
      <c r="J40" s="53" t="n">
        <v>428800</v>
      </c>
      <c r="K40" s="55" t="n">
        <v>20000</v>
      </c>
    </row>
    <row r="41" customFormat="false" ht="15" hidden="false" customHeight="false" outlineLevel="0" collapsed="false">
      <c r="A41" s="51" t="s">
        <v>107</v>
      </c>
      <c r="B41" s="52" t="n">
        <v>2</v>
      </c>
      <c r="C41" s="52" t="n">
        <v>26</v>
      </c>
      <c r="D41" s="53" t="n">
        <v>100000</v>
      </c>
      <c r="E41" s="53"/>
      <c r="F41" s="53" t="n">
        <v>16000</v>
      </c>
      <c r="G41" s="53" t="n">
        <v>19200</v>
      </c>
      <c r="H41" s="54" t="n">
        <v>135200</v>
      </c>
      <c r="I41" s="53"/>
      <c r="J41" s="53" t="n">
        <v>564000</v>
      </c>
      <c r="K41" s="55" t="n">
        <v>20000</v>
      </c>
    </row>
    <row r="42" customFormat="false" ht="15" hidden="false" customHeight="false" outlineLevel="0" collapsed="false">
      <c r="A42" s="56" t="s">
        <v>108</v>
      </c>
      <c r="B42" s="57" t="n">
        <v>26</v>
      </c>
      <c r="C42" s="57" t="n">
        <v>26</v>
      </c>
      <c r="D42" s="58" t="n">
        <v>400000</v>
      </c>
      <c r="E42" s="58" t="n">
        <v>200000</v>
      </c>
      <c r="F42" s="58" t="n">
        <v>107200</v>
      </c>
      <c r="G42" s="58" t="n">
        <v>56800</v>
      </c>
      <c r="H42" s="58" t="n">
        <v>564000</v>
      </c>
      <c r="I42" s="58" t="n">
        <v>20000</v>
      </c>
      <c r="J42" s="58" t="n">
        <v>564000</v>
      </c>
      <c r="K42" s="58" t="n">
        <v>20000</v>
      </c>
    </row>
    <row r="44" customFormat="false" ht="19.5" hidden="false" customHeight="true" outlineLevel="0" collapsed="false">
      <c r="A44" s="41" t="s">
        <v>112</v>
      </c>
      <c r="B44" s="41"/>
      <c r="C44" s="41"/>
      <c r="D44" s="41"/>
      <c r="E44" s="41"/>
      <c r="F44" s="41"/>
    </row>
    <row r="45" customFormat="false" ht="24.75" hidden="false" customHeight="true" outlineLevel="0" collapsed="false">
      <c r="A45" s="23" t="s">
        <v>113</v>
      </c>
      <c r="B45" s="23" t="s">
        <v>114</v>
      </c>
      <c r="C45" s="23" t="s">
        <v>115</v>
      </c>
      <c r="D45" s="23" t="s">
        <v>116</v>
      </c>
      <c r="E45" s="23" t="s">
        <v>99</v>
      </c>
      <c r="F45" s="23" t="s">
        <v>117</v>
      </c>
    </row>
    <row r="46" customFormat="false" ht="15" hidden="false" customHeight="false" outlineLevel="0" collapsed="false">
      <c r="A46" s="59" t="s">
        <v>118</v>
      </c>
      <c r="B46" s="25" t="n">
        <v>12</v>
      </c>
      <c r="C46" s="25" t="n">
        <v>12</v>
      </c>
      <c r="D46" s="28" t="n">
        <v>272000</v>
      </c>
      <c r="E46" s="29" t="n">
        <v>-272000</v>
      </c>
      <c r="F46" s="26" t="n">
        <v>22667</v>
      </c>
    </row>
    <row r="47" customFormat="false" ht="15" hidden="false" customHeight="false" outlineLevel="0" collapsed="false">
      <c r="A47" s="60" t="s">
        <v>119</v>
      </c>
      <c r="B47" s="35" t="n">
        <v>24</v>
      </c>
      <c r="C47" s="35" t="n">
        <v>24</v>
      </c>
      <c r="D47" s="37" t="n">
        <v>544000</v>
      </c>
      <c r="E47" s="61" t="s">
        <v>120</v>
      </c>
      <c r="F47" s="36" t="n">
        <v>22667</v>
      </c>
    </row>
    <row r="48" customFormat="false" ht="15" hidden="false" customHeight="false" outlineLevel="0" collapsed="false">
      <c r="A48" s="62" t="s">
        <v>121</v>
      </c>
      <c r="B48" s="43" t="n">
        <v>42</v>
      </c>
      <c r="C48" s="43" t="n">
        <v>42</v>
      </c>
      <c r="D48" s="45" t="n">
        <v>752000</v>
      </c>
      <c r="E48" s="46" t="n">
        <v>208000</v>
      </c>
      <c r="F48" s="44" t="n">
        <v>17905</v>
      </c>
    </row>
    <row r="49" customFormat="false" ht="15" hidden="false" customHeight="false" outlineLevel="0" collapsed="false">
      <c r="A49" s="63" t="s">
        <v>122</v>
      </c>
      <c r="B49" s="52" t="n">
        <v>26</v>
      </c>
      <c r="C49" s="52" t="n">
        <v>26</v>
      </c>
      <c r="D49" s="54" t="n">
        <v>564000</v>
      </c>
      <c r="E49" s="55" t="n">
        <v>20000</v>
      </c>
      <c r="F49" s="53" t="n">
        <v>21692</v>
      </c>
    </row>
  </sheetData>
  <mergeCells count="7">
    <mergeCell ref="A1:K1"/>
    <mergeCell ref="A2:K2"/>
    <mergeCell ref="A4:K4"/>
    <mergeCell ref="A14:K14"/>
    <mergeCell ref="A24:K24"/>
    <mergeCell ref="A34:K34"/>
    <mergeCell ref="A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2026-03-13T08:48:58Z</dcterms:created>
  <dc:creator>openpyxl</dc:creator>
  <dc:description/>
  <dc:language>en-US</dc:language>
  <cp:lastModifiedBy/>
  <dcterms:modified xsi:type="dcterms:W3CDTF">2026-03-13T09:00:42Z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